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inerary" sheetId="1" state="visible" r:id="rId1"/>
    <sheet xmlns:r="http://schemas.openxmlformats.org/officeDocument/2006/relationships" name="Flights" sheetId="2" state="visible" r:id="rId2"/>
    <sheet xmlns:r="http://schemas.openxmlformats.org/officeDocument/2006/relationships" name="Hotels" sheetId="3" state="visible" r:id="rId3"/>
    <sheet xmlns:r="http://schemas.openxmlformats.org/officeDocument/2006/relationships" name="Transport &amp; Activities" sheetId="4" state="visible" r:id="rId4"/>
    <sheet xmlns:r="http://schemas.openxmlformats.org/officeDocument/2006/relationships"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0" borderId="0" pivotButton="0" quotePrefix="0" xfId="0"/>
    <xf numFmtId="164" fontId="3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2" customWidth="1" min="3" max="3"/>
    <col width="60" customWidth="1" min="4" max="4"/>
    <col width="42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Turkey Itinerary, Dublin return, 9 to 13 Nov 2026 (1 traveller, per person)</t>
        </is>
      </c>
    </row>
    <row r="3">
      <c r="A3" s="2" t="inlineStr">
        <is>
          <t>Day</t>
        </is>
      </c>
      <c r="B3" s="2" t="inlineStr">
        <is>
          <t>Date</t>
        </is>
      </c>
      <c r="C3" s="2" t="inlineStr">
        <is>
          <t>Base</t>
        </is>
      </c>
      <c r="D3" s="2" t="inlineStr">
        <is>
          <t>Activities (in order)</t>
        </is>
      </c>
      <c r="E3" s="2" t="inlineStr">
        <is>
          <t>Public transport</t>
        </is>
      </c>
      <c r="F3" s="2" t="inlineStr">
        <is>
          <t>Est. low (€)</t>
        </is>
      </c>
      <c r="G3" s="2" t="inlineStr">
        <is>
          <t>Est. high (€)</t>
        </is>
      </c>
      <c r="H3" s="2" t="inlineStr">
        <is>
          <t>Notes</t>
        </is>
      </c>
    </row>
    <row r="4">
      <c r="A4" s="3" t="inlineStr">
        <is>
          <t>Day 1</t>
        </is>
      </c>
      <c r="B4" s="3" t="inlineStr">
        <is>
          <t>Mon 9 Nov 2026</t>
        </is>
      </c>
      <c r="C4" s="3" t="inlineStr">
        <is>
          <t>Istanbul</t>
        </is>
      </c>
      <c r="D4" s="3" t="inlineStr">
        <is>
          <t>Fly Dublin to Istanbul. Sultanahmet Square, Blue Mosque (exterior if arriving late), Basilica Cistern if still open.</t>
        </is>
      </c>
      <c r="E4" s="3" t="inlineStr">
        <is>
          <t>Istanbul Airport to Sultanahmet: Havaist bus or M11 metro + T1 tram</t>
        </is>
      </c>
      <c r="F4" s="4" t="n">
        <v>0</v>
      </c>
      <c r="G4" s="4" t="n">
        <v>25</v>
      </c>
      <c r="H4" s="3" t="inlineStr">
        <is>
          <t>Arrival time not yet known. Basilica Cistern costs are a gap [EVIDENCE NEEDED: current ticket price].</t>
        </is>
      </c>
    </row>
    <row r="5">
      <c r="A5" s="3" t="inlineStr">
        <is>
          <t>Day 2</t>
        </is>
      </c>
      <c r="B5" s="3" t="inlineStr">
        <is>
          <t>Tue 10 Nov 2026</t>
        </is>
      </c>
      <c r="C5" s="3" t="inlineStr">
        <is>
          <t>Istanbul</t>
        </is>
      </c>
      <c r="D5" s="3" t="inlineStr">
        <is>
          <t>Hagia Sophia (early slot), Grand Bazaar, Spice Bazaar, Galata Tower, Taksim Square, Turkish bath (evening).</t>
        </is>
      </c>
      <c r="E5" s="3" t="inlineStr">
        <is>
          <t>T1 tram (Sultanahmet to Eminönü, Bazaar); walk to Karaköy; M2 metro to Taksim</t>
        </is>
      </c>
      <c r="F5" s="4" t="n">
        <v>90</v>
      </c>
      <c r="G5" s="4" t="n">
        <v>170</v>
      </c>
      <c r="H5" s="3" t="inlineStr">
        <is>
          <t>Hagia Sophia entry rules and Galata Tower price not verified [EVIDENCE NEEDED]. Turkish bath from €30 to €60 [EVIDENCE NEEDED].</t>
        </is>
      </c>
    </row>
    <row r="6">
      <c r="A6" s="3" t="inlineStr">
        <is>
          <t>Day 3</t>
        </is>
      </c>
      <c r="B6" s="3" t="inlineStr">
        <is>
          <t>Wed 11 Nov 2026</t>
        </is>
      </c>
      <c r="C6" s="3" t="inlineStr">
        <is>
          <t>Istanbul to Göreme (Cappadocia)</t>
        </is>
      </c>
      <c r="D6" s="3" t="inlineStr">
        <is>
          <t>Bosphorus ferry (Eminönü to Ortaköy), Ortaköy Mosque, Süleymaniye Mosque. Afternoon flight Istanbul to Nevşehir (NAV). Overnight Göreme.</t>
        </is>
      </c>
      <c r="E6" s="3" t="inlineStr">
        <is>
          <t>Public ferry; T1 tram; Istanbul Airport to Göreme by airport shuttle (about 1 h 15 min total with flight)</t>
        </is>
      </c>
      <c r="F6" s="4" t="n">
        <v>70</v>
      </c>
      <c r="G6" s="4" t="n">
        <v>150</v>
      </c>
      <c r="H6" s="3" t="inlineStr">
        <is>
          <t>Ferry is cheap but schedule varies. Domestic flight cost not verified [EVIDENCE NEEDED].</t>
        </is>
      </c>
    </row>
    <row r="7">
      <c r="A7" s="3" t="inlineStr">
        <is>
          <t>Day 4</t>
        </is>
      </c>
      <c r="B7" s="3" t="inlineStr">
        <is>
          <t>Thu 12 Nov 2026</t>
        </is>
      </c>
      <c r="C7" s="3" t="inlineStr">
        <is>
          <t>Cappadocia to Istanbul</t>
        </is>
      </c>
      <c r="D7" s="3" t="inlineStr">
        <is>
          <t>Dawn hot air balloon (pickup about 05:00, weather dependent). Fairy chimneys (Love Valley), Pasabağ (Monks Valley), ATV tour in the afternoon. Flight Nevşehir to Istanbul in the evening. Overnight Istanbul.</t>
        </is>
      </c>
      <c r="E7" s="3" t="inlineStr">
        <is>
          <t>Shuttle to balloon; tour minibus; airport shuttle to NAV; Istanbul Airport to Sultanahmet</t>
        </is>
      </c>
      <c r="F7" s="4" t="n">
        <v>280</v>
      </c>
      <c r="G7" s="4" t="n">
        <v>420</v>
      </c>
      <c r="H7" s="3" t="inlineStr">
        <is>
          <t>Balloon is weather dependent. Book a refund or reschedule option and a backup day. If the balloon is cancelled, the €80 to €265 fare is refunded or rebooked.</t>
        </is>
      </c>
    </row>
    <row r="8">
      <c r="A8" s="3" t="inlineStr">
        <is>
          <t>Day 5</t>
        </is>
      </c>
      <c r="B8" s="3" t="inlineStr">
        <is>
          <t>Fri 13 Nov 2026</t>
        </is>
      </c>
      <c r="C8" s="3" t="inlineStr">
        <is>
          <t>Istanbul to Dublin</t>
        </is>
      </c>
      <c r="D8" s="3" t="inlineStr">
        <is>
          <t>Morning transfer to Istanbul Airport. Fly Istanbul to Dublin (Turkish Airlines, direct).</t>
        </is>
      </c>
      <c r="E8" s="3" t="inlineStr">
        <is>
          <t>Havaist bus or taxi to Istanbul Airport (allow 2 h before departure)</t>
        </is>
      </c>
      <c r="F8" s="4" t="n">
        <v>10</v>
      </c>
      <c r="G8" s="4" t="n">
        <v>40</v>
      </c>
      <c r="H8" s="3" t="inlineStr">
        <is>
          <t>Return flight time not yet booked. Confirm the Dublin departure time before fixing the Istanbul hotel checkout.</t>
        </is>
      </c>
    </row>
    <row r="9">
      <c r="E9" s="5" t="inlineStr">
        <is>
          <t>Total (€)</t>
        </is>
      </c>
      <c r="F9" s="6">
        <f>SUM(F4:F8)</f>
        <v/>
      </c>
      <c r="G9" s="6">
        <f>SUM(G4:G8)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4" customWidth="1" min="4" max="4"/>
    <col width="12" customWidth="1" min="5" max="5"/>
    <col width="14" customWidth="1" min="6" max="6"/>
    <col width="14" customWidth="1" min="7" max="7"/>
    <col width="70" customWidth="1" min="8" max="8"/>
  </cols>
  <sheetData>
    <row r="1">
      <c r="A1" s="1" t="inlineStr">
        <is>
          <t>Flights: cheapest direct options (no direct Dublin to Cappadocia route)</t>
        </is>
      </c>
    </row>
    <row r="3">
      <c r="A3" s="2" t="inlineStr">
        <is>
          <t>Leg</t>
        </is>
      </c>
      <c r="B3" s="2" t="inlineStr">
        <is>
          <t>Date</t>
        </is>
      </c>
      <c r="C3" s="2" t="inlineStr">
        <is>
          <t>Route</t>
        </is>
      </c>
      <c r="D3" s="2" t="inlineStr">
        <is>
          <t>Airline / option</t>
        </is>
      </c>
      <c r="E3" s="2" t="inlineStr">
        <is>
          <t>Direct?</t>
        </is>
      </c>
      <c r="F3" s="2" t="inlineStr">
        <is>
          <t>Est. low (€)</t>
        </is>
      </c>
      <c r="G3" s="2" t="inlineStr">
        <is>
          <t>Est. high (€)</t>
        </is>
      </c>
      <c r="H3" s="2" t="inlineStr">
        <is>
          <t>Source / status</t>
        </is>
      </c>
    </row>
    <row r="4">
      <c r="A4" s="3" t="inlineStr">
        <is>
          <t>Outbound</t>
        </is>
      </c>
      <c r="B4" s="3" t="inlineStr">
        <is>
          <t>Mon 9 Nov</t>
        </is>
      </c>
      <c r="C4" s="3" t="inlineStr">
        <is>
          <t>DUB to IST</t>
        </is>
      </c>
      <c r="D4" s="3" t="inlineStr">
        <is>
          <t>Turkish Airlines (also IndiGo flies this route direct)</t>
        </is>
      </c>
      <c r="E4" s="3" t="inlineStr">
        <is>
          <t>Yes</t>
        </is>
      </c>
      <c r="F4" s="4" t="n">
        <v>240</v>
      </c>
      <c r="G4" s="4" t="n">
        <v>320</v>
      </c>
      <c r="H4" s="3" t="inlineStr">
        <is>
          <t>Low from Turkish Airlines page (€240, July 2026 snapshot). High is [EVIDENCE NEEDED: November fare]. Source: turkishairlines.com/en-tr/flights-from-dublin-to-istanbul</t>
        </is>
      </c>
    </row>
    <row r="5">
      <c r="A5" s="3" t="inlineStr">
        <is>
          <t>Domestic</t>
        </is>
      </c>
      <c r="B5" s="3" t="inlineStr">
        <is>
          <t>Wed 11 Nov</t>
        </is>
      </c>
      <c r="C5" s="3" t="inlineStr">
        <is>
          <t>IST to NAV</t>
        </is>
      </c>
      <c r="D5" s="3" t="inlineStr">
        <is>
          <t>Turkish Airlines / Pegasus / AJet (compare)</t>
        </is>
      </c>
      <c r="E5" s="3" t="inlineStr">
        <is>
          <t>Yes</t>
        </is>
      </c>
      <c r="F5" s="4" t="n">
        <v>60</v>
      </c>
      <c r="G5" s="4" t="n">
        <v>120</v>
      </c>
      <c r="H5" s="3" t="inlineStr">
        <is>
          <t>[EVIDENCE NEEDED: live fare for 11 Nov]</t>
        </is>
      </c>
    </row>
    <row r="6">
      <c r="A6" s="3" t="inlineStr">
        <is>
          <t>Domestic</t>
        </is>
      </c>
      <c r="B6" s="3" t="inlineStr">
        <is>
          <t>Thu 12 Nov</t>
        </is>
      </c>
      <c r="C6" s="3" t="inlineStr">
        <is>
          <t>NAV to IST</t>
        </is>
      </c>
      <c r="D6" s="3" t="inlineStr">
        <is>
          <t>Turkish Airlines / Pegasus / AJet (compare)</t>
        </is>
      </c>
      <c r="E6" s="3" t="inlineStr">
        <is>
          <t>Yes</t>
        </is>
      </c>
      <c r="F6" s="4" t="n">
        <v>60</v>
      </c>
      <c r="G6" s="4" t="n">
        <v>120</v>
      </c>
      <c r="H6" s="3" t="inlineStr">
        <is>
          <t>[EVIDENCE NEEDED: live fare for 12 Nov]</t>
        </is>
      </c>
    </row>
    <row r="7">
      <c r="A7" s="3" t="inlineStr">
        <is>
          <t>Return</t>
        </is>
      </c>
      <c r="B7" s="3" t="inlineStr">
        <is>
          <t>Fri 13 Nov</t>
        </is>
      </c>
      <c r="C7" s="3" t="inlineStr">
        <is>
          <t>IST to DUB</t>
        </is>
      </c>
      <c r="D7" s="3" t="inlineStr">
        <is>
          <t>Turkish Airlines (direct)</t>
        </is>
      </c>
      <c r="E7" s="3" t="inlineStr">
        <is>
          <t>Yes</t>
        </is>
      </c>
      <c r="F7" s="4" t="n">
        <v>240</v>
      </c>
      <c r="G7" s="4" t="n">
        <v>320</v>
      </c>
      <c r="H7" s="3" t="inlineStr">
        <is>
          <t>Same basis as outbound. [EVIDENCE NEEDED: November return fare]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2" customWidth="1" min="4" max="4"/>
    <col width="20" customWidth="1" min="5" max="5"/>
    <col width="20" customWidth="1" min="6" max="6"/>
    <col width="30" customWidth="1" min="7" max="7"/>
    <col width="14" customWidth="1" min="8" max="8"/>
    <col width="70" customWidth="1" min="9" max="9"/>
  </cols>
  <sheetData>
    <row r="1">
      <c r="A1" s="1" t="inlineStr">
        <is>
          <t>Hotel options per night (1 traveller)</t>
        </is>
      </c>
    </row>
    <row r="3">
      <c r="A3" s="2" t="inlineStr">
        <is>
          <t>Night</t>
        </is>
      </c>
      <c r="B3" s="2" t="inlineStr">
        <is>
          <t>Date</t>
        </is>
      </c>
      <c r="C3" s="2" t="inlineStr">
        <is>
          <t>Location</t>
        </is>
      </c>
      <c r="D3" s="2" t="inlineStr">
        <is>
          <t>Budget option</t>
        </is>
      </c>
      <c r="E3" s="2" t="inlineStr">
        <is>
          <t>Budget €/night (low)</t>
        </is>
      </c>
      <c r="F3" s="2" t="inlineStr">
        <is>
          <t>Budget €/night (high)</t>
        </is>
      </c>
      <c r="G3" s="2" t="inlineStr">
        <is>
          <t>Mid option</t>
        </is>
      </c>
      <c r="H3" s="2" t="inlineStr">
        <is>
          <t>Mid €/night</t>
        </is>
      </c>
      <c r="I3" s="2" t="inlineStr">
        <is>
          <t>Source / status</t>
        </is>
      </c>
    </row>
    <row r="4">
      <c r="A4" s="3" t="inlineStr">
        <is>
          <t>1</t>
        </is>
      </c>
      <c r="B4" s="3" t="inlineStr">
        <is>
          <t>9 Nov</t>
        </is>
      </c>
      <c r="C4" s="3" t="inlineStr">
        <is>
          <t>Sultanahmet, Istanbul</t>
        </is>
      </c>
      <c r="D4" s="3" t="inlineStr">
        <is>
          <t>Hostel private room or dorm bed</t>
        </is>
      </c>
      <c r="E4" s="4" t="n">
        <v>25</v>
      </c>
      <c r="F4" s="4" t="n">
        <v>50</v>
      </c>
      <c r="G4" s="3" t="inlineStr">
        <is>
          <t>Boutique guesthouse, rooftop</t>
        </is>
      </c>
      <c r="H4" s="4" t="n">
        <v>85</v>
      </c>
      <c r="I4" s="3" t="inlineStr">
        <is>
          <t>Hostel beds $20 to $40 (listicles). Guesthouse €50 to €90 (guide). Mid price from Expedia listing ($84, Mar 2026). [EVIDENCE NEEDED: November rates]</t>
        </is>
      </c>
    </row>
    <row r="5">
      <c r="A5" s="3" t="inlineStr">
        <is>
          <t>2</t>
        </is>
      </c>
      <c r="B5" s="3" t="inlineStr">
        <is>
          <t>10 Nov</t>
        </is>
      </c>
      <c r="C5" s="3" t="inlineStr">
        <is>
          <t>Sultanahmet, Istanbul</t>
        </is>
      </c>
      <c r="D5" s="3" t="inlineStr">
        <is>
          <t>Hostel private room or dorm bed</t>
        </is>
      </c>
      <c r="E5" s="4" t="n">
        <v>25</v>
      </c>
      <c r="F5" s="4" t="n">
        <v>50</v>
      </c>
      <c r="G5" s="3" t="inlineStr">
        <is>
          <t>Boutique guesthouse, rooftop</t>
        </is>
      </c>
      <c r="H5" s="4" t="n">
        <v>85</v>
      </c>
      <c r="I5" s="3" t="inlineStr">
        <is>
          <t>As night 1</t>
        </is>
      </c>
    </row>
    <row r="6">
      <c r="A6" s="3" t="inlineStr">
        <is>
          <t>3</t>
        </is>
      </c>
      <c r="B6" s="3" t="inlineStr">
        <is>
          <t>11 Nov</t>
        </is>
      </c>
      <c r="C6" s="3" t="inlineStr">
        <is>
          <t>Göreme, Cappadocia</t>
        </is>
      </c>
      <c r="D6" s="3" t="inlineStr">
        <is>
          <t>Basic cave room</t>
        </is>
      </c>
      <c r="E6" s="4" t="n">
        <v>60</v>
      </c>
      <c r="F6" s="4" t="n">
        <v>90</v>
      </c>
      <c r="G6" s="3" t="inlineStr">
        <is>
          <t>Cave hotel with terrace</t>
        </is>
      </c>
      <c r="H6" s="4" t="n">
        <v>120</v>
      </c>
      <c r="I6" s="3" t="inlineStr">
        <is>
          <t>[EVIDENCE NEEDED: Göreme rates for November]</t>
        </is>
      </c>
    </row>
    <row r="7">
      <c r="A7" s="3" t="inlineStr">
        <is>
          <t>4</t>
        </is>
      </c>
      <c r="B7" s="3" t="inlineStr">
        <is>
          <t>12 Nov</t>
        </is>
      </c>
      <c r="C7" s="3" t="inlineStr">
        <is>
          <t>Sultanahmet, Istanbul</t>
        </is>
      </c>
      <c r="D7" s="3" t="inlineStr">
        <is>
          <t>Hostel private room or dorm bed</t>
        </is>
      </c>
      <c r="E7" s="4" t="n">
        <v>25</v>
      </c>
      <c r="F7" s="4" t="n">
        <v>50</v>
      </c>
      <c r="G7" s="3" t="inlineStr">
        <is>
          <t>Boutique guesthouse, rooftop</t>
        </is>
      </c>
      <c r="H7" s="4" t="n">
        <v>85</v>
      </c>
      <c r="I7" s="3" t="inlineStr">
        <is>
          <t>Late arrival. Book near Sultanahmet to cut transfer time. As night 1</t>
        </is>
      </c>
    </row>
    <row r="8">
      <c r="D8" s="5" t="inlineStr">
        <is>
          <t>Total for 4 nights (€)</t>
        </is>
      </c>
      <c r="E8" s="6">
        <f>SUM(E4:E7)</f>
        <v/>
      </c>
      <c r="F8" s="6">
        <f>SUM(F4:F7)</f>
        <v/>
      </c>
      <c r="H8" s="6">
        <f>SUM(H4:H7)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4" customWidth="1" min="4" max="4"/>
    <col width="80" customWidth="1" min="5" max="5"/>
  </cols>
  <sheetData>
    <row r="1">
      <c r="A1" s="1" t="inlineStr">
        <is>
          <t>Public transport and activity costs (1 traveller)</t>
        </is>
      </c>
    </row>
    <row r="3">
      <c r="A3" s="2" t="inlineStr">
        <is>
          <t>Item</t>
        </is>
      </c>
      <c r="B3" s="2" t="inlineStr">
        <is>
          <t>Type</t>
        </is>
      </c>
      <c r="C3" s="2" t="inlineStr">
        <is>
          <t>Est. low (€)</t>
        </is>
      </c>
      <c r="D3" s="2" t="inlineStr">
        <is>
          <t>Est. high (€)</t>
        </is>
      </c>
      <c r="E3" s="2" t="inlineStr">
        <is>
          <t>Status</t>
        </is>
      </c>
    </row>
    <row r="4">
      <c r="A4" s="3" t="inlineStr">
        <is>
          <t>Istanbul Kart (transport card) and transfers</t>
        </is>
      </c>
      <c r="B4" s="3" t="inlineStr">
        <is>
          <t>Public transport</t>
        </is>
      </c>
      <c r="C4" s="4" t="n">
        <v>15</v>
      </c>
      <c r="D4" s="4" t="n">
        <v>25</v>
      </c>
      <c r="E4" s="3" t="inlineStr">
        <is>
          <t>[EVIDENCE NEEDED: current Istanbul Kart fare]</t>
        </is>
      </c>
    </row>
    <row r="5">
      <c r="A5" s="3" t="inlineStr">
        <is>
          <t>Bosphorus public ferry (Eminönü to Ortaköy)</t>
        </is>
      </c>
      <c r="B5" s="3" t="inlineStr">
        <is>
          <t>Public transport</t>
        </is>
      </c>
      <c r="C5" s="4" t="n">
        <v>2</v>
      </c>
      <c r="D5" s="4" t="n">
        <v>5</v>
      </c>
      <c r="E5" s="3" t="inlineStr">
        <is>
          <t>[EVIDENCE NEEDED: current fare]</t>
        </is>
      </c>
    </row>
    <row r="6">
      <c r="A6" s="3" t="inlineStr">
        <is>
          <t>Airport to city (bus or metro), Istanbul</t>
        </is>
      </c>
      <c r="B6" s="3" t="inlineStr">
        <is>
          <t>Public transport</t>
        </is>
      </c>
      <c r="C6" s="4" t="n">
        <v>2</v>
      </c>
      <c r="D6" s="4" t="n">
        <v>10</v>
      </c>
      <c r="E6" s="3" t="inlineStr">
        <is>
          <t>[EVIDENCE NEEDED: current fare]</t>
        </is>
      </c>
    </row>
    <row r="7">
      <c r="A7" s="3" t="inlineStr">
        <is>
          <t>Hagia Sophia</t>
        </is>
      </c>
      <c r="B7" s="3" t="inlineStr">
        <is>
          <t>Activity</t>
        </is>
      </c>
      <c r="C7" s="4" t="n">
        <v>0</v>
      </c>
      <c r="D7" s="4" t="n">
        <v>25</v>
      </c>
      <c r="E7" s="3" t="inlineStr">
        <is>
          <t>[EVIDENCE NEEDED: entry rules and ticket price]</t>
        </is>
      </c>
    </row>
    <row r="8">
      <c r="A8" s="3" t="inlineStr">
        <is>
          <t>Blue Mosque, Süleymaniye, Ortaköy Mosque</t>
        </is>
      </c>
      <c r="B8" s="3" t="inlineStr">
        <is>
          <t>Activity</t>
        </is>
      </c>
      <c r="C8" s="4" t="n">
        <v>0</v>
      </c>
      <c r="D8" s="4" t="n">
        <v>0</v>
      </c>
      <c r="E8" s="3" t="inlineStr">
        <is>
          <t>Free entry. Closed to visitors during prayer times.</t>
        </is>
      </c>
    </row>
    <row r="9">
      <c r="A9" s="3" t="inlineStr">
        <is>
          <t>Grand Bazaar, Spice Bazaar, Taksim, Sultanahmet Square</t>
        </is>
      </c>
      <c r="B9" s="3" t="inlineStr">
        <is>
          <t>Activity</t>
        </is>
      </c>
      <c r="C9" s="4" t="n">
        <v>0</v>
      </c>
      <c r="D9" s="4" t="n">
        <v>0</v>
      </c>
      <c r="E9" s="3" t="inlineStr">
        <is>
          <t>Free to enter</t>
        </is>
      </c>
    </row>
    <row r="10">
      <c r="A10" s="3" t="inlineStr">
        <is>
          <t>Basilica Cistern</t>
        </is>
      </c>
      <c r="B10" s="3" t="inlineStr">
        <is>
          <t>Activity</t>
        </is>
      </c>
      <c r="C10" s="4" t="n">
        <v>15</v>
      </c>
      <c r="D10" s="4" t="n">
        <v>25</v>
      </c>
      <c r="E10" s="3" t="inlineStr">
        <is>
          <t>[EVIDENCE NEEDED: ticket price]</t>
        </is>
      </c>
    </row>
    <row r="11">
      <c r="A11" s="3" t="inlineStr">
        <is>
          <t>Galata Tower</t>
        </is>
      </c>
      <c r="B11" s="3" t="inlineStr">
        <is>
          <t>Activity</t>
        </is>
      </c>
      <c r="C11" s="4" t="n">
        <v>20</v>
      </c>
      <c r="D11" s="4" t="n">
        <v>30</v>
      </c>
      <c r="E11" s="3" t="inlineStr">
        <is>
          <t>[EVIDENCE NEEDED: ticket price]</t>
        </is>
      </c>
    </row>
    <row r="12">
      <c r="A12" s="3" t="inlineStr">
        <is>
          <t>Turkish bath (hammam)</t>
        </is>
      </c>
      <c r="B12" s="3" t="inlineStr">
        <is>
          <t>Activity</t>
        </is>
      </c>
      <c r="C12" s="4" t="n">
        <v>30</v>
      </c>
      <c r="D12" s="4" t="n">
        <v>60</v>
      </c>
      <c r="E12" s="3" t="inlineStr">
        <is>
          <t>[EVIDENCE NEEDED: operator price]</t>
        </is>
      </c>
    </row>
    <row r="13">
      <c r="A13" s="3" t="inlineStr">
        <is>
          <t>Hot air balloon (shared flight)</t>
        </is>
      </c>
      <c r="B13" s="3" t="inlineStr">
        <is>
          <t>Activity</t>
        </is>
      </c>
      <c r="C13" s="4" t="n">
        <v>80</v>
      </c>
      <c r="D13" s="4" t="n">
        <v>265</v>
      </c>
      <c r="E13" s="3" t="inlineStr">
        <is>
          <t>Low from Flypgs (about €80, low season). High from My Turkey Adventure ($200 to $280). Sources are blogs, not operators. Weather cancellations common in November.</t>
        </is>
      </c>
    </row>
    <row r="14">
      <c r="A14" s="3" t="inlineStr">
        <is>
          <t>ATV tour (Cappadocia)</t>
        </is>
      </c>
      <c r="B14" s="3" t="inlineStr">
        <is>
          <t>Activity</t>
        </is>
      </c>
      <c r="C14" s="4" t="n">
        <v>40</v>
      </c>
      <c r="D14" s="4" t="n">
        <v>60</v>
      </c>
      <c r="E14" s="3" t="inlineStr">
        <is>
          <t>[EVIDENCE NEEDED: operator price]</t>
        </is>
      </c>
    </row>
    <row r="15">
      <c r="A15" s="3" t="inlineStr">
        <is>
          <t>Fairy chimneys, Pasabağ (Monks Valley)</t>
        </is>
      </c>
      <c r="B15" s="3" t="inlineStr">
        <is>
          <t>Activity</t>
        </is>
      </c>
      <c r="C15" s="4" t="n">
        <v>0</v>
      </c>
      <c r="D15" s="4" t="n">
        <v>0</v>
      </c>
      <c r="E15" s="3" t="inlineStr">
        <is>
          <t>Free to walk. Tour minibus included in Cappadocia tour price.</t>
        </is>
      </c>
    </row>
    <row r="16">
      <c r="A16" s="3" t="inlineStr">
        <is>
          <t>Food and drink (5 days)</t>
        </is>
      </c>
      <c r="B16" s="3" t="inlineStr">
        <is>
          <t>Daily spend</t>
        </is>
      </c>
      <c r="C16" s="4" t="n">
        <v>125</v>
      </c>
      <c r="D16" s="4" t="n">
        <v>225</v>
      </c>
      <c r="E16" s="3" t="inlineStr">
        <is>
          <t>Estimate: €25 to €45 per day [EVIDENCE NEEDED: local price check]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Budget summary (per person, 1 traveller)</t>
        </is>
      </c>
    </row>
    <row r="3">
      <c r="A3" s="2" t="inlineStr">
        <is>
          <t>Category</t>
        </is>
      </c>
      <c r="B3" s="2" t="inlineStr">
        <is>
          <t>Low (€)</t>
        </is>
      </c>
      <c r="C3" s="2" t="inlineStr">
        <is>
          <t>High (€)</t>
        </is>
      </c>
      <c r="D3" s="2" t="inlineStr">
        <is>
          <t>Notes</t>
        </is>
      </c>
    </row>
    <row r="4">
      <c r="A4" s="3" t="inlineStr">
        <is>
          <t>Flights (4 legs, return from Dublin)</t>
        </is>
      </c>
      <c r="B4" s="4">
        <f>Flights!F4+Flights!F5+Flights!F6+Flights!F7</f>
        <v/>
      </c>
      <c r="C4" s="4">
        <f>Flights!G4+Flights!G5+Flights!G6+Flights!G7</f>
        <v/>
      </c>
      <c r="D4" s="3" t="inlineStr">
        <is>
          <t>Direct Dublin to Istanbul both ways</t>
        </is>
      </c>
    </row>
    <row r="5">
      <c r="A5" s="3" t="inlineStr">
        <is>
          <t>Hotels (4 nights)</t>
        </is>
      </c>
      <c r="B5" s="4">
        <f>Hotels!E8</f>
        <v/>
      </c>
      <c r="C5" s="4">
        <f>Hotels!H8</f>
        <v/>
      </c>
      <c r="D5" s="3" t="inlineStr">
        <is>
          <t>Low = budget tier, high = mid tier (see Hotels sheet)</t>
        </is>
      </c>
    </row>
    <row r="6">
      <c r="A6" s="3" t="inlineStr">
        <is>
          <t>Activities and balloon</t>
        </is>
      </c>
      <c r="B6" s="4">
        <f>SUM('Transport &amp; Activities'!C7:C15)</f>
        <v/>
      </c>
      <c r="C6" s="4">
        <f>SUM('Transport &amp; Activities'!D7:D15)</f>
        <v/>
      </c>
      <c r="D6" s="3" t="inlineStr">
        <is>
          <t>Includes balloon and ATV</t>
        </is>
      </c>
    </row>
    <row r="7">
      <c r="A7" s="3" t="inlineStr">
        <is>
          <t>Local transport and food</t>
        </is>
      </c>
      <c r="B7" s="4">
        <f>SUM('Transport &amp; Activities'!C4:C6)+'Transport &amp; Activities'!C16</f>
        <v/>
      </c>
      <c r="C7" s="4">
        <f>SUM('Transport &amp; Activities'!D4:D6)+'Transport &amp; Activities'!D16</f>
        <v/>
      </c>
      <c r="D7" s="3" t="inlineStr">
        <is>
          <t>Transport card, ferry, airport transfers, food</t>
        </is>
      </c>
    </row>
    <row r="8">
      <c r="A8" s="5" t="inlineStr">
        <is>
          <t>Total per person (€)</t>
        </is>
      </c>
      <c r="B8" s="6">
        <f>SUM(B4:B7)</f>
        <v/>
      </c>
      <c r="C8" s="6">
        <f>SUM(C4:C7)</f>
        <v/>
      </c>
    </row>
    <row r="10">
      <c r="A10" s="7" t="inlineStr">
        <is>
          <t>Assumptions: 1 traveller, prices in EUR, November 2026. Flights and hotels are estimates; verify before booking.</t>
        </is>
      </c>
    </row>
    <row r="11">
      <c r="A11" s="7" t="inlineStr">
        <is>
          <t>Visa: Irish passport. Sources conflict (DFA says no visa up to 90 days; airlines say e-visa). Check the official Turkish e-visa site before travel. Passport needs 6 months validity.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2026-10-14T09:46:55Z</dcterms:created>
  <dcterms:modified xmlns:dcterms="http://purl.org/dc/terms/" xmlns:xsi="http://www.w3.org/2001/XMLSchema-instance" xsi:type="dcterms:W3CDTF">2026-10-14T09:46:55Z</dcterms:modified>
</cp:coreProperties>
</file>